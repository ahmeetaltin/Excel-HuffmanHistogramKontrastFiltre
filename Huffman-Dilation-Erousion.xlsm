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hmet\Desktop\Ders Notları\Görüntü İşleme\"/>
    </mc:Choice>
  </mc:AlternateContent>
  <xr:revisionPtr revIDLastSave="0" documentId="13_ncr:1_{06B5AD65-823D-4E66-B730-5455D1F05B1C}" xr6:coauthVersionLast="46" xr6:coauthVersionMax="46" xr10:uidLastSave="{00000000-0000-0000-0000-000000000000}"/>
  <bookViews>
    <workbookView xWindow="7065" yWindow="1845" windowWidth="17745" windowHeight="12735" activeTab="1" xr2:uid="{D9065A56-A42B-48C6-8A88-F4B6981B4D39}"/>
  </bookViews>
  <sheets>
    <sheet name="Huffman" sheetId="4" r:id="rId1"/>
    <sheet name="Açma-Kapama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2" i="4" l="1"/>
  <c r="P12" i="4"/>
  <c r="N12" i="4"/>
  <c r="L12" i="4"/>
  <c r="F10" i="4"/>
  <c r="F11" i="4"/>
  <c r="F12" i="4"/>
  <c r="F13" i="4"/>
  <c r="F5" i="4"/>
  <c r="F6" i="4"/>
  <c r="F7" i="4"/>
  <c r="F8" i="4"/>
  <c r="F9" i="4"/>
  <c r="F4" i="4"/>
  <c r="R15" i="4"/>
  <c r="R16" i="4"/>
  <c r="P15" i="4"/>
  <c r="P16" i="4"/>
  <c r="P17" i="4"/>
  <c r="N15" i="4"/>
  <c r="N16" i="4"/>
  <c r="N17" i="4"/>
  <c r="N18" i="4"/>
  <c r="L15" i="4"/>
  <c r="L16" i="4"/>
  <c r="L17" i="4"/>
  <c r="L18" i="4"/>
  <c r="L19" i="4"/>
  <c r="E14" i="4"/>
  <c r="H14" i="4"/>
  <c r="H15" i="4" l="1"/>
  <c r="H17" i="4" s="1"/>
  <c r="H16" i="4"/>
  <c r="H18" i="4" l="1"/>
</calcChain>
</file>

<file path=xl/sharedStrings.xml><?xml version="1.0" encoding="utf-8"?>
<sst xmlns="http://schemas.openxmlformats.org/spreadsheetml/2006/main" count="80" uniqueCount="50">
  <si>
    <t>a1</t>
  </si>
  <si>
    <t>a2</t>
  </si>
  <si>
    <t>a3</t>
  </si>
  <si>
    <t>a4</t>
  </si>
  <si>
    <t>a5</t>
  </si>
  <si>
    <t>a6</t>
  </si>
  <si>
    <t>SEMBOL</t>
  </si>
  <si>
    <t>OLASILIK</t>
  </si>
  <si>
    <t>SIRALI</t>
  </si>
  <si>
    <t>A kaça kadar ?</t>
  </si>
  <si>
    <t>KAYNAK İNDİRGEME</t>
  </si>
  <si>
    <t>ORJİNAL KAYNAK</t>
  </si>
  <si>
    <t>_1</t>
  </si>
  <si>
    <t>_00</t>
  </si>
  <si>
    <t>_01</t>
  </si>
  <si>
    <t>KOD</t>
  </si>
  <si>
    <t>UZUNLUK</t>
  </si>
  <si>
    <t>KODUN ORTALAMA UZUNLUĞU</t>
  </si>
  <si>
    <t>bits/pixel</t>
  </si>
  <si>
    <t>BURAYI SAKIN DEĞİŞTİRME</t>
  </si>
  <si>
    <t>-</t>
  </si>
  <si>
    <t>NOT</t>
  </si>
  <si>
    <t>AÇMA İŞLEMİ İÇİN ŞEKLE ÖNCE AŞINMA SONRA AŞINAN ŞEKLEDE AYNI ELEMANLA GENİŞLEME UYGULANIR</t>
  </si>
  <si>
    <t>KAPAMA İŞLEMİ İÇİN ŞEKLE ÖNCE GENİŞLEME GENİŞLEYEN RESMEDE AYNI ELEMANLA AŞINMA İŞLEMİ UYGULANIR</t>
  </si>
  <si>
    <t>ÖRNEK AÇMA İŞLEMİ</t>
  </si>
  <si>
    <t>ÖNCE AŞINMA UYGULADIK</t>
  </si>
  <si>
    <t>grileri silin kalan aşınmış şekil</t>
  </si>
  <si>
    <t>ana şeklimiz</t>
  </si>
  <si>
    <t>SONRADA GENİŞLEME UYGULADIK</t>
  </si>
  <si>
    <t>Grileri şekle katın oluşan genişlemiş hali</t>
  </si>
  <si>
    <t>AŞINMIŞ HALİ</t>
  </si>
  <si>
    <t>cevap bu şekil</t>
  </si>
  <si>
    <t>O</t>
  </si>
  <si>
    <t>B'</t>
  </si>
  <si>
    <t>C</t>
  </si>
  <si>
    <t>COMPRESSION RATIO</t>
  </si>
  <si>
    <t>Kaç Bit ?</t>
  </si>
  <si>
    <t>REDUNDUNCY</t>
  </si>
  <si>
    <t>R</t>
  </si>
  <si>
    <t>_10</t>
  </si>
  <si>
    <t>_11</t>
  </si>
  <si>
    <t>_100</t>
  </si>
  <si>
    <t>_101</t>
  </si>
  <si>
    <t>_1000</t>
  </si>
  <si>
    <t>_1001</t>
  </si>
  <si>
    <t>Genişlemede şekli sıra sıra 
hücrelerden kaydırarak
son halini buluyoruz.
Eğer kaydırırken şekilin herhangi
bir yeri ana şekile temas ederse
kaydırılan şeklin orta noktası eklenir.</t>
  </si>
  <si>
    <t>Örnek Sayılar - E sütununa kopyalayak deneyebilirsin</t>
  </si>
  <si>
    <t>3 Butonuna basmadan
önce sarı olan yerlere 0 ve 1 yazmayı unutma</t>
  </si>
  <si>
    <t>Aşınma - Erousion</t>
  </si>
  <si>
    <t>Genişleme - Dilation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</si>
</sst>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4"/>
      <color theme="0"/>
      <name val="Bahnschrift"/>
      <family val="2"/>
      <charset val="162"/>
    </font>
    <font>
      <b/>
      <sz val="14"/>
      <color theme="1"/>
      <name val="Bahnschrift"/>
      <family val="2"/>
      <charset val="162"/>
    </font>
    <font>
      <b/>
      <sz val="12"/>
      <color theme="1"/>
      <name val="Bahnschrift"/>
      <family val="2"/>
      <charset val="162"/>
    </font>
    <font>
      <b/>
      <sz val="12"/>
      <color theme="0"/>
      <name val="Bahnschrift"/>
      <family val="2"/>
      <charset val="162"/>
    </font>
    <font>
      <b/>
      <sz val="11"/>
      <color theme="1"/>
      <name val="Bahnschrift"/>
      <family val="2"/>
      <charset val="162"/>
    </font>
    <font>
      <b/>
      <sz val="8"/>
      <name val="Bahnschrift"/>
      <family val="2"/>
      <charset val="162"/>
    </font>
    <font>
      <b/>
      <sz val="11"/>
      <color theme="0"/>
      <name val="Bahnschrift"/>
      <family val="2"/>
      <charset val="162"/>
    </font>
    <font>
      <b/>
      <sz val="8"/>
      <color theme="1"/>
      <name val="Bahnschrift"/>
      <family val="2"/>
      <charset val="162"/>
    </font>
    <font>
      <sz val="20"/>
      <color theme="1"/>
      <name val="Liberation Sans"/>
      <charset val="162"/>
    </font>
    <font>
      <sz val="20"/>
      <color rgb="FFC9211E"/>
      <name val="Liberation Sans"/>
      <charset val="162"/>
    </font>
    <font>
      <sz val="15"/>
      <color rgb="FFC9211E"/>
      <name val="Liberation Sans"/>
      <charset val="162"/>
    </font>
    <font>
      <sz val="15"/>
      <color theme="1"/>
      <name val="Liberation Sans"/>
      <charset val="162"/>
    </font>
    <font>
      <sz val="20"/>
      <name val="Liberation Sans"/>
      <charset val="162"/>
    </font>
    <font>
      <b/>
      <sz val="16"/>
      <color theme="0"/>
      <name val="Calibri"/>
      <family val="2"/>
      <charset val="162"/>
      <scheme val="minor"/>
    </font>
    <font>
      <b/>
      <sz val="12"/>
      <name val="Bahnschrift"/>
      <family val="2"/>
      <charset val="162"/>
    </font>
    <font>
      <b/>
      <sz val="9"/>
      <color theme="0"/>
      <name val="Bahnschrift"/>
      <family val="2"/>
      <charset val="162"/>
    </font>
    <font>
      <b/>
      <sz val="8"/>
      <color theme="0"/>
      <name val="Bahnschrift"/>
      <family val="2"/>
      <charset val="162"/>
    </font>
    <font>
      <b/>
      <sz val="11"/>
      <name val="Bahnschrift"/>
      <family val="2"/>
      <charset val="162"/>
    </font>
    <font>
      <b/>
      <sz val="12"/>
      <color rgb="FFFF0000"/>
      <name val="Bahnschrift"/>
      <family val="2"/>
      <charset val="162"/>
    </font>
    <font>
      <b/>
      <sz val="12"/>
      <color theme="1"/>
      <name val="Calibri"/>
      <family val="2"/>
      <charset val="16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  <fill>
      <patternFill patternType="solid">
        <fgColor rgb="FFDDDDDD"/>
        <bgColor rgb="FFDDDDDD"/>
      </patternFill>
    </fill>
    <fill>
      <patternFill patternType="solid">
        <fgColor rgb="FFFF3838"/>
        <bgColor rgb="FFFF3838"/>
      </patternFill>
    </fill>
    <fill>
      <patternFill patternType="solid">
        <fgColor rgb="FFA1467E"/>
        <bgColor rgb="FFA1467E"/>
      </patternFill>
    </fill>
    <fill>
      <patternFill patternType="solid">
        <fgColor rgb="FFB2B2B2"/>
        <bgColor rgb="FFB2B2B2"/>
      </patternFill>
    </fill>
    <fill>
      <patternFill patternType="solid">
        <fgColor rgb="FF999999"/>
        <bgColor rgb="FF999999"/>
      </patternFill>
    </fill>
    <fill>
      <patternFill patternType="solid">
        <fgColor theme="1"/>
        <bgColor rgb="FF000000"/>
      </patternFill>
    </fill>
  </fills>
  <borders count="2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0" tint="-0.34998626667073579"/>
      </bottom>
      <diagonal/>
    </border>
    <border>
      <left style="mediumDashed">
        <color theme="0" tint="-0.24994659260841701"/>
      </left>
      <right style="mediumDashed">
        <color theme="0" tint="-0.24994659260841701"/>
      </right>
      <top style="mediumDashed">
        <color theme="0" tint="-0.24994659260841701"/>
      </top>
      <bottom style="mediumDashed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3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11" fillId="0" borderId="0" xfId="0" applyFont="1"/>
    <xf numFmtId="0" fontId="0" fillId="11" borderId="0" xfId="0" applyFill="1"/>
    <xf numFmtId="0" fontId="10" fillId="0" borderId="0" xfId="0" applyFont="1"/>
    <xf numFmtId="0" fontId="0" fillId="12" borderId="0" xfId="0" applyFill="1"/>
    <xf numFmtId="0" fontId="12" fillId="0" borderId="0" xfId="0" applyFont="1"/>
    <xf numFmtId="0" fontId="0" fillId="14" borderId="0" xfId="0" applyFill="1"/>
    <xf numFmtId="0" fontId="13" fillId="0" borderId="0" xfId="0" applyFont="1"/>
    <xf numFmtId="0" fontId="15" fillId="8" borderId="0" xfId="0" applyFont="1" applyFill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0" fillId="2" borderId="15" xfId="0" applyFont="1" applyFill="1" applyBorder="1" applyAlignment="1">
      <alignment horizontal="center" vertical="center"/>
    </xf>
    <xf numFmtId="0" fontId="0" fillId="0" borderId="16" xfId="0" applyBorder="1"/>
    <xf numFmtId="0" fontId="8" fillId="2" borderId="10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0" fillId="0" borderId="0" xfId="0" applyBorder="1"/>
    <xf numFmtId="0" fontId="0" fillId="13" borderId="0" xfId="0" applyFill="1" applyBorder="1"/>
    <xf numFmtId="0" fontId="0" fillId="8" borderId="0" xfId="0" applyFill="1" applyBorder="1"/>
    <xf numFmtId="0" fontId="0" fillId="15" borderId="0" xfId="0" applyFill="1" applyBorder="1"/>
    <xf numFmtId="0" fontId="0" fillId="4" borderId="17" xfId="0" applyFill="1" applyBorder="1"/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180422</xdr:colOff>
      <xdr:row>9</xdr:row>
      <xdr:rowOff>35298</xdr:rowOff>
    </xdr:from>
    <xdr:to>
      <xdr:col>8</xdr:col>
      <xdr:colOff>638098</xdr:colOff>
      <xdr:row>12</xdr:row>
      <xdr:rowOff>206187</xdr:rowOff>
    </xdr:to>
    <xdr:pic macro="[0]!Makro3">
      <xdr:nvPicPr>
        <xdr:cNvPr id="7" name="Resim 6" descr="Free Png Download Number One Neon Transparent Clipart - Calligraphy - Full  Size Clipart (#3616495) - PinClipart">
          <a:extLst>
            <a:ext uri="{FF2B5EF4-FFF2-40B4-BE49-F238E27FC236}">
              <a16:creationId xmlns:a16="http://schemas.microsoft.com/office/drawing/2014/main" id="{28753871-05FE-4C2D-88B5-2196D74A1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047" y="2254623"/>
          <a:ext cx="457676" cy="78048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108696</xdr:colOff>
      <xdr:row>2</xdr:row>
      <xdr:rowOff>395567</xdr:rowOff>
    </xdr:from>
    <xdr:to>
      <xdr:col>20</xdr:col>
      <xdr:colOff>65004</xdr:colOff>
      <xdr:row>6</xdr:row>
      <xdr:rowOff>67795</xdr:rowOff>
    </xdr:to>
    <xdr:pic macro="[0]!Makro1">
      <xdr:nvPicPr>
        <xdr:cNvPr id="10" name="Resim 9" descr="Download number three neon transparent png - Free PNG Images | TOPpng">
          <a:extLst>
            <a:ext uri="{FF2B5EF4-FFF2-40B4-BE49-F238E27FC236}">
              <a16:creationId xmlns:a16="http://schemas.microsoft.com/office/drawing/2014/main" id="{CFC0BD62-CF89-4BE1-849A-8F927D6F5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6571" y="900392"/>
          <a:ext cx="565908" cy="758078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533400</xdr:colOff>
      <xdr:row>6</xdr:row>
      <xdr:rowOff>171450</xdr:rowOff>
    </xdr:from>
    <xdr:to>
      <xdr:col>20</xdr:col>
      <xdr:colOff>114300</xdr:colOff>
      <xdr:row>11</xdr:row>
      <xdr:rowOff>0</xdr:rowOff>
    </xdr:to>
    <xdr:cxnSp macro="">
      <xdr:nvCxnSpPr>
        <xdr:cNvPr id="3" name="Düz Ok Bağlayıcısı 2">
          <a:extLst>
            <a:ext uri="{FF2B5EF4-FFF2-40B4-BE49-F238E27FC236}">
              <a16:creationId xmlns:a16="http://schemas.microsoft.com/office/drawing/2014/main" id="{D5468320-39E2-4819-A0A4-F00C33E99704}"/>
            </a:ext>
          </a:extLst>
        </xdr:cNvPr>
        <xdr:cNvCxnSpPr/>
      </xdr:nvCxnSpPr>
      <xdr:spPr>
        <a:xfrm flipH="1" flipV="1">
          <a:off x="10191750" y="1762125"/>
          <a:ext cx="190500" cy="857250"/>
        </a:xfrm>
        <a:prstGeom prst="straightConnector1">
          <a:avLst/>
        </a:prstGeom>
        <a:ln>
          <a:tailEnd type="triangle"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50</xdr:row>
      <xdr:rowOff>28575</xdr:rowOff>
    </xdr:from>
    <xdr:to>
      <xdr:col>17</xdr:col>
      <xdr:colOff>285750</xdr:colOff>
      <xdr:row>50</xdr:row>
      <xdr:rowOff>38100</xdr:rowOff>
    </xdr:to>
    <xdr:cxnSp macro="">
      <xdr:nvCxnSpPr>
        <xdr:cNvPr id="3" name="Düz Ok Bağlayıcısı 2">
          <a:extLst>
            <a:ext uri="{FF2B5EF4-FFF2-40B4-BE49-F238E27FC236}">
              <a16:creationId xmlns:a16="http://schemas.microsoft.com/office/drawing/2014/main" id="{07670BC3-069B-4A04-AF86-F88C637853B1}"/>
            </a:ext>
          </a:extLst>
        </xdr:cNvPr>
        <xdr:cNvCxnSpPr/>
      </xdr:nvCxnSpPr>
      <xdr:spPr>
        <a:xfrm flipV="1">
          <a:off x="4391025" y="17649825"/>
          <a:ext cx="2047875" cy="9525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57</xdr:row>
      <xdr:rowOff>257175</xdr:rowOff>
    </xdr:from>
    <xdr:to>
      <xdr:col>17</xdr:col>
      <xdr:colOff>333375</xdr:colOff>
      <xdr:row>57</xdr:row>
      <xdr:rowOff>266700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114AA64-AB45-4C3B-A497-25BCCB0967FC}"/>
            </a:ext>
          </a:extLst>
        </xdr:cNvPr>
        <xdr:cNvCxnSpPr/>
      </xdr:nvCxnSpPr>
      <xdr:spPr>
        <a:xfrm flipV="1">
          <a:off x="4438650" y="20345400"/>
          <a:ext cx="2047875" cy="9525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276225</xdr:colOff>
      <xdr:row>54</xdr:row>
      <xdr:rowOff>257176</xdr:rowOff>
    </xdr:from>
    <xdr:to>
      <xdr:col>32</xdr:col>
      <xdr:colOff>95250</xdr:colOff>
      <xdr:row>57</xdr:row>
      <xdr:rowOff>123825</xdr:rowOff>
    </xdr:to>
    <xdr:cxnSp macro="">
      <xdr:nvCxnSpPr>
        <xdr:cNvPr id="5" name="Düz Ok Bağlayıcısı 4">
          <a:extLst>
            <a:ext uri="{FF2B5EF4-FFF2-40B4-BE49-F238E27FC236}">
              <a16:creationId xmlns:a16="http://schemas.microsoft.com/office/drawing/2014/main" id="{9DC29CF7-9969-4EE4-AA1C-9E2D42A51622}"/>
            </a:ext>
          </a:extLst>
        </xdr:cNvPr>
        <xdr:cNvCxnSpPr/>
      </xdr:nvCxnSpPr>
      <xdr:spPr>
        <a:xfrm flipV="1">
          <a:off x="10410825" y="19288126"/>
          <a:ext cx="1266825" cy="923924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257176</xdr:colOff>
      <xdr:row>52</xdr:row>
      <xdr:rowOff>171450</xdr:rowOff>
    </xdr:from>
    <xdr:to>
      <xdr:col>17</xdr:col>
      <xdr:colOff>180975</xdr:colOff>
      <xdr:row>56</xdr:row>
      <xdr:rowOff>133350</xdr:rowOff>
    </xdr:to>
    <xdr:cxnSp macro="">
      <xdr:nvCxnSpPr>
        <xdr:cNvPr id="7" name="Düz Ok Bağlayıcısı 6">
          <a:extLst>
            <a:ext uri="{FF2B5EF4-FFF2-40B4-BE49-F238E27FC236}">
              <a16:creationId xmlns:a16="http://schemas.microsoft.com/office/drawing/2014/main" id="{37F69F8D-15DA-4C5A-BF3A-9F6D8A4E5D28}"/>
            </a:ext>
          </a:extLst>
        </xdr:cNvPr>
        <xdr:cNvCxnSpPr/>
      </xdr:nvCxnSpPr>
      <xdr:spPr>
        <a:xfrm flipH="1">
          <a:off x="4238626" y="18497550"/>
          <a:ext cx="2095499" cy="137160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2B6EF-700D-4EE4-A359-48DCECBB9234}">
  <sheetPr codeName="Sayfa4"/>
  <dimension ref="A1:Z30"/>
  <sheetViews>
    <sheetView showGridLines="0" zoomScaleNormal="100" workbookViewId="0">
      <selection activeCell="H29" sqref="H29"/>
    </sheetView>
  </sheetViews>
  <sheetFormatPr defaultRowHeight="14.25"/>
  <cols>
    <col min="1" max="2" width="3.28515625" style="14" customWidth="1"/>
    <col min="3" max="3" width="0.5703125" style="14" customWidth="1"/>
    <col min="4" max="4" width="11" style="14" customWidth="1"/>
    <col min="5" max="5" width="9.140625" style="14"/>
    <col min="6" max="6" width="11.42578125" style="14" customWidth="1"/>
    <col min="7" max="7" width="9.140625" style="14"/>
    <col min="8" max="8" width="10" style="14" customWidth="1"/>
    <col min="9" max="9" width="11.140625" style="14" customWidth="1"/>
    <col min="10" max="10" width="0.140625" style="14" hidden="1" customWidth="1"/>
    <col min="11" max="11" width="1" style="14" customWidth="1"/>
    <col min="12" max="12" width="10.42578125" style="14" customWidth="1"/>
    <col min="13" max="13" width="9.140625" style="14" customWidth="1"/>
    <col min="14" max="14" width="10.7109375" style="14" customWidth="1"/>
    <col min="15" max="15" width="8.28515625" style="14" customWidth="1"/>
    <col min="16" max="16" width="10" style="14" customWidth="1"/>
    <col min="17" max="17" width="8" style="14" customWidth="1"/>
    <col min="18" max="18" width="10" style="14" customWidth="1"/>
    <col min="19" max="19" width="8.28515625" style="14" customWidth="1"/>
    <col min="20" max="20" width="9.140625" style="14"/>
    <col min="21" max="21" width="5.7109375" style="14" customWidth="1"/>
    <col min="22" max="22" width="9.140625" style="14"/>
    <col min="23" max="23" width="5.7109375" style="14" customWidth="1"/>
    <col min="24" max="24" width="9.140625" style="14"/>
    <col min="25" max="25" width="5.7109375" style="14" customWidth="1"/>
    <col min="26" max="16384" width="9.140625" style="14"/>
  </cols>
  <sheetData>
    <row r="1" spans="1:26" ht="15" thickBot="1"/>
    <row r="2" spans="1:26" ht="24.75" customHeight="1" thickTop="1" thickBot="1">
      <c r="D2" s="79" t="s">
        <v>11</v>
      </c>
      <c r="E2" s="79"/>
      <c r="F2" s="79"/>
      <c r="G2" s="79"/>
      <c r="H2" s="79"/>
      <c r="I2" s="1"/>
      <c r="J2" s="2"/>
      <c r="K2" s="2"/>
      <c r="L2" s="79" t="s">
        <v>10</v>
      </c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</row>
    <row r="3" spans="1:26" ht="36" customHeight="1" thickTop="1" thickBot="1">
      <c r="A3" s="15" t="s">
        <v>9</v>
      </c>
      <c r="B3" s="27">
        <v>6</v>
      </c>
      <c r="D3" s="4" t="s">
        <v>6</v>
      </c>
      <c r="E3" s="4" t="s">
        <v>7</v>
      </c>
      <c r="F3" s="4" t="s">
        <v>16</v>
      </c>
      <c r="G3" s="76" t="s">
        <v>8</v>
      </c>
      <c r="H3" s="76"/>
      <c r="I3" s="4" t="s">
        <v>15</v>
      </c>
      <c r="J3" s="21"/>
      <c r="K3" s="21"/>
      <c r="L3" s="4">
        <v>1</v>
      </c>
      <c r="M3" s="4" t="s">
        <v>20</v>
      </c>
      <c r="N3" s="4">
        <v>2</v>
      </c>
      <c r="O3" s="4" t="s">
        <v>20</v>
      </c>
      <c r="P3" s="4">
        <v>3</v>
      </c>
      <c r="Q3" s="4" t="s">
        <v>20</v>
      </c>
      <c r="R3" s="4">
        <v>4</v>
      </c>
      <c r="S3" s="4" t="s">
        <v>20</v>
      </c>
      <c r="T3" s="19">
        <v>5</v>
      </c>
      <c r="U3" s="19" t="s">
        <v>20</v>
      </c>
      <c r="V3" s="19">
        <v>6</v>
      </c>
      <c r="W3" s="19" t="s">
        <v>20</v>
      </c>
      <c r="X3" s="19">
        <v>7</v>
      </c>
      <c r="Y3" s="19" t="s">
        <v>20</v>
      </c>
      <c r="Z3" s="19">
        <v>8</v>
      </c>
    </row>
    <row r="4" spans="1:26" ht="16.5" thickTop="1" thickBot="1">
      <c r="D4" s="11" t="s">
        <v>0</v>
      </c>
      <c r="E4" s="5">
        <v>0.14000000000000001</v>
      </c>
      <c r="F4" s="40">
        <f>IF(I4&gt;0,LEN(I4)-1,"")</f>
        <v>2</v>
      </c>
      <c r="G4" s="65" t="s">
        <v>2</v>
      </c>
      <c r="H4" s="66">
        <v>0.32</v>
      </c>
      <c r="I4" s="67" t="s">
        <v>13</v>
      </c>
      <c r="J4" s="23"/>
      <c r="K4" s="23"/>
      <c r="L4" s="12">
        <v>0.32</v>
      </c>
      <c r="M4" s="22" t="s">
        <v>13</v>
      </c>
      <c r="N4" s="12">
        <v>0.32</v>
      </c>
      <c r="O4" s="22" t="s">
        <v>13</v>
      </c>
      <c r="P4" s="12">
        <v>0.37</v>
      </c>
      <c r="Q4" s="22" t="s">
        <v>12</v>
      </c>
      <c r="R4" s="12">
        <v>0.63</v>
      </c>
      <c r="S4" s="5">
        <v>0</v>
      </c>
      <c r="T4" s="9"/>
      <c r="U4" s="10"/>
      <c r="V4" s="10"/>
      <c r="W4" s="10"/>
      <c r="X4" s="10"/>
      <c r="Y4" s="10"/>
      <c r="Z4" s="10"/>
    </row>
    <row r="5" spans="1:26" ht="16.5" thickTop="1" thickBot="1">
      <c r="D5" s="11" t="s">
        <v>1</v>
      </c>
      <c r="E5" s="5">
        <v>0.06</v>
      </c>
      <c r="F5" s="40">
        <f t="shared" ref="F5:F13" si="0">IF(I5&gt;0,LEN(I5)-1,"")</f>
        <v>2</v>
      </c>
      <c r="G5" s="65" t="s">
        <v>3</v>
      </c>
      <c r="H5" s="66">
        <v>0.31</v>
      </c>
      <c r="I5" s="67" t="s">
        <v>14</v>
      </c>
      <c r="J5" s="23"/>
      <c r="K5" s="23"/>
      <c r="L5" s="12">
        <v>0.31</v>
      </c>
      <c r="M5" s="22" t="s">
        <v>14</v>
      </c>
      <c r="N5" s="12">
        <v>0.31</v>
      </c>
      <c r="O5" s="22" t="s">
        <v>14</v>
      </c>
      <c r="P5" s="12">
        <v>0.32</v>
      </c>
      <c r="Q5" s="22" t="s">
        <v>13</v>
      </c>
      <c r="R5" s="12">
        <v>0.37</v>
      </c>
      <c r="S5" s="5">
        <v>1</v>
      </c>
      <c r="T5" s="9"/>
      <c r="U5" s="10"/>
      <c r="V5" s="10"/>
      <c r="W5" s="10"/>
      <c r="X5" s="10"/>
      <c r="Y5" s="10"/>
      <c r="Z5" s="10"/>
    </row>
    <row r="6" spans="1:26" ht="16.5" thickTop="1" thickBot="1">
      <c r="D6" s="11" t="s">
        <v>2</v>
      </c>
      <c r="E6" s="5">
        <v>0.32</v>
      </c>
      <c r="F6" s="40">
        <f t="shared" si="0"/>
        <v>2</v>
      </c>
      <c r="G6" s="65" t="s">
        <v>0</v>
      </c>
      <c r="H6" s="66">
        <v>0.14000000000000001</v>
      </c>
      <c r="I6" s="67" t="s">
        <v>40</v>
      </c>
      <c r="J6" s="10"/>
      <c r="K6" s="10"/>
      <c r="L6" s="6">
        <v>0.14000000000000001</v>
      </c>
      <c r="M6" s="24" t="s">
        <v>40</v>
      </c>
      <c r="N6" s="7">
        <v>0.22999999999999998</v>
      </c>
      <c r="O6" s="24" t="s">
        <v>39</v>
      </c>
      <c r="P6" s="7">
        <v>0.31</v>
      </c>
      <c r="Q6" s="24" t="s">
        <v>14</v>
      </c>
      <c r="R6" s="10"/>
      <c r="S6" s="10"/>
      <c r="T6" s="9"/>
      <c r="U6" s="10"/>
      <c r="V6" s="10"/>
      <c r="W6" s="10"/>
      <c r="X6" s="10"/>
      <c r="Y6" s="10"/>
      <c r="Z6" s="10"/>
    </row>
    <row r="7" spans="1:26" ht="16.5" thickTop="1" thickBot="1">
      <c r="D7" s="11" t="s">
        <v>3</v>
      </c>
      <c r="E7" s="5">
        <v>0.31</v>
      </c>
      <c r="F7" s="40">
        <f t="shared" si="0"/>
        <v>3</v>
      </c>
      <c r="G7" s="65" t="s">
        <v>4</v>
      </c>
      <c r="H7" s="66">
        <v>0.11</v>
      </c>
      <c r="I7" s="67" t="s">
        <v>42</v>
      </c>
      <c r="J7" s="10"/>
      <c r="K7" s="10"/>
      <c r="L7" s="12">
        <v>0.12</v>
      </c>
      <c r="M7" s="22" t="s">
        <v>41</v>
      </c>
      <c r="N7" s="13">
        <v>0.14000000000000001</v>
      </c>
      <c r="O7" s="22" t="s">
        <v>40</v>
      </c>
      <c r="P7" s="9"/>
      <c r="Q7" s="10"/>
      <c r="S7" s="10"/>
      <c r="T7" s="9"/>
      <c r="U7" s="10"/>
      <c r="V7" s="10"/>
      <c r="W7" s="10"/>
      <c r="X7" s="10"/>
      <c r="Y7" s="10"/>
      <c r="Z7" s="10"/>
    </row>
    <row r="8" spans="1:26" ht="16.5" thickTop="1" thickBot="1">
      <c r="D8" s="11" t="s">
        <v>4</v>
      </c>
      <c r="E8" s="5">
        <v>0.11</v>
      </c>
      <c r="F8" s="40">
        <f t="shared" si="0"/>
        <v>4</v>
      </c>
      <c r="G8" s="65" t="s">
        <v>1</v>
      </c>
      <c r="H8" s="66">
        <v>0.06</v>
      </c>
      <c r="I8" s="67" t="s">
        <v>43</v>
      </c>
      <c r="J8" s="10"/>
      <c r="K8" s="10"/>
      <c r="L8" s="12">
        <v>0.11</v>
      </c>
      <c r="M8" s="22" t="s">
        <v>42</v>
      </c>
      <c r="N8" s="10"/>
      <c r="O8" s="10"/>
      <c r="S8" s="10"/>
      <c r="T8" s="9"/>
      <c r="U8" s="10"/>
      <c r="V8" s="10"/>
      <c r="W8" s="10"/>
      <c r="X8" s="10"/>
      <c r="Y8" s="10"/>
      <c r="Z8" s="10"/>
    </row>
    <row r="9" spans="1:26" ht="16.5" thickTop="1" thickBot="1">
      <c r="D9" s="11" t="s">
        <v>5</v>
      </c>
      <c r="E9" s="5">
        <v>0.06</v>
      </c>
      <c r="F9" s="40">
        <f t="shared" si="0"/>
        <v>4</v>
      </c>
      <c r="G9" s="65" t="s">
        <v>5</v>
      </c>
      <c r="H9" s="66">
        <v>0.06</v>
      </c>
      <c r="I9" s="67" t="s">
        <v>44</v>
      </c>
      <c r="J9" s="10"/>
      <c r="K9" s="10"/>
      <c r="T9" s="9"/>
      <c r="U9" s="10"/>
      <c r="V9" s="10"/>
      <c r="W9" s="10"/>
      <c r="X9" s="10"/>
      <c r="Y9" s="10"/>
      <c r="Z9" s="10"/>
    </row>
    <row r="10" spans="1:26" ht="15.75" thickTop="1">
      <c r="D10" s="18"/>
      <c r="F10" s="18" t="str">
        <f>IF(I10&gt;0,LEN(I10)-1,"")</f>
        <v/>
      </c>
      <c r="I10" s="25"/>
      <c r="J10" s="25"/>
      <c r="K10" s="25"/>
      <c r="L10" s="20"/>
      <c r="T10" s="9"/>
      <c r="U10" s="10"/>
      <c r="V10" s="10"/>
      <c r="W10" s="10"/>
      <c r="X10" s="10"/>
      <c r="Y10" s="10"/>
      <c r="Z10" s="10"/>
    </row>
    <row r="11" spans="1:26" ht="15.75" thickBot="1">
      <c r="D11" s="18"/>
      <c r="F11" s="18" t="str">
        <f t="shared" si="0"/>
        <v/>
      </c>
      <c r="I11" s="10"/>
      <c r="J11" s="10"/>
      <c r="K11" s="10"/>
      <c r="T11" s="9"/>
      <c r="U11" s="10"/>
      <c r="V11" s="10"/>
      <c r="W11" s="10"/>
      <c r="X11" s="10"/>
      <c r="Y11" s="10"/>
      <c r="Z11" s="10"/>
    </row>
    <row r="12" spans="1:26" ht="16.5" thickTop="1" thickBot="1">
      <c r="D12" s="18"/>
      <c r="F12" s="18" t="str">
        <f t="shared" si="0"/>
        <v/>
      </c>
      <c r="I12" s="10"/>
      <c r="J12" s="10"/>
      <c r="K12" s="10"/>
      <c r="L12" s="61">
        <f>SUM(L4:L11)</f>
        <v>1</v>
      </c>
      <c r="N12" s="61">
        <f>SUM(N4:N11)</f>
        <v>1</v>
      </c>
      <c r="P12" s="61">
        <f>SUM(P4:P11)</f>
        <v>1</v>
      </c>
      <c r="R12" s="61">
        <f>SUM(R4:R11)</f>
        <v>1</v>
      </c>
      <c r="T12" s="84" t="s">
        <v>47</v>
      </c>
      <c r="U12" s="85"/>
      <c r="V12" s="85"/>
      <c r="W12" s="10"/>
      <c r="X12" s="10"/>
      <c r="Y12" s="10"/>
      <c r="Z12" s="10"/>
    </row>
    <row r="13" spans="1:26" ht="16.5" thickTop="1" thickBot="1">
      <c r="D13" s="18"/>
      <c r="F13" s="18" t="str">
        <f t="shared" si="0"/>
        <v/>
      </c>
      <c r="I13" s="10"/>
      <c r="J13" s="10"/>
      <c r="K13" s="10"/>
      <c r="L13" s="75" t="s">
        <v>19</v>
      </c>
      <c r="M13" s="76"/>
      <c r="N13" s="77"/>
      <c r="O13" s="76"/>
      <c r="P13" s="77"/>
      <c r="Q13" s="76"/>
      <c r="R13" s="78"/>
      <c r="T13" s="85"/>
      <c r="U13" s="85"/>
      <c r="V13" s="85"/>
      <c r="W13" s="10"/>
      <c r="X13" s="10"/>
      <c r="Y13" s="10"/>
      <c r="Z13" s="10"/>
    </row>
    <row r="14" spans="1:26" ht="16.5" thickTop="1" thickBot="1">
      <c r="D14" s="17"/>
      <c r="E14" s="60">
        <f>SUM(E4:E13)</f>
        <v>1</v>
      </c>
      <c r="F14" s="17"/>
      <c r="G14" s="3"/>
      <c r="H14" s="60">
        <f>SUM(H4:H13)</f>
        <v>1</v>
      </c>
      <c r="I14" s="10"/>
      <c r="J14" s="10"/>
      <c r="K14" s="10"/>
      <c r="L14" s="75"/>
      <c r="M14" s="77"/>
      <c r="N14" s="77"/>
      <c r="O14" s="77"/>
      <c r="P14" s="77"/>
      <c r="Q14" s="77"/>
      <c r="R14" s="78"/>
      <c r="S14" s="10"/>
      <c r="T14" s="85"/>
      <c r="U14" s="85"/>
      <c r="V14" s="85"/>
      <c r="W14" s="10"/>
      <c r="X14" s="10"/>
      <c r="Y14" s="10"/>
      <c r="Z14" s="10"/>
    </row>
    <row r="15" spans="1:26" ht="19.5" thickTop="1" thickBot="1">
      <c r="B15" s="52" t="s">
        <v>33</v>
      </c>
      <c r="C15" s="53"/>
      <c r="D15" s="76" t="s">
        <v>17</v>
      </c>
      <c r="E15" s="76"/>
      <c r="F15" s="76"/>
      <c r="G15" s="76"/>
      <c r="H15" s="54">
        <f>F9*H9+F4*H4+F5*H5+F6*H6+F7*H7+F8*H8</f>
        <v>2.3499999999999996</v>
      </c>
      <c r="I15" s="55" t="s">
        <v>18</v>
      </c>
      <c r="J15" s="10"/>
      <c r="K15" s="10"/>
      <c r="L15" s="47">
        <f>IF(SUM(H8:H9)=L4,1,0)</f>
        <v>0</v>
      </c>
      <c r="M15" s="42"/>
      <c r="N15" s="48">
        <f>IF(SUM(L7:L8)=N4,1,0)</f>
        <v>0</v>
      </c>
      <c r="O15" s="42"/>
      <c r="P15" s="48">
        <f>IF(SUM(N6:N7)=P4,1,0)</f>
        <v>1</v>
      </c>
      <c r="Q15" s="42"/>
      <c r="R15" s="49">
        <f>IF(SUM(P5:P6)=R4,1,0)</f>
        <v>1</v>
      </c>
      <c r="S15" s="10"/>
      <c r="T15" s="85"/>
      <c r="U15" s="85"/>
      <c r="V15" s="85"/>
      <c r="W15" s="10"/>
      <c r="X15" s="10"/>
      <c r="Y15" s="10"/>
      <c r="Z15" s="10"/>
    </row>
    <row r="16" spans="1:26" ht="18" customHeight="1" thickTop="1">
      <c r="B16" s="52" t="s">
        <v>33</v>
      </c>
      <c r="C16" s="53"/>
      <c r="D16" s="76" t="s">
        <v>17</v>
      </c>
      <c r="E16" s="76"/>
      <c r="F16" s="76"/>
      <c r="G16" s="76"/>
      <c r="H16" s="54">
        <f>F4*H4*100+F5*H5*100+F6*H6*100+F7*H7*100+F8*H8*100+F9*H9*100</f>
        <v>235</v>
      </c>
      <c r="I16" s="55" t="s">
        <v>18</v>
      </c>
      <c r="L16" s="47">
        <f>IF(SUM(H8:H9)=L5,1,0)</f>
        <v>0</v>
      </c>
      <c r="M16" s="42"/>
      <c r="N16" s="48">
        <f>IF(SUM(L7:L8)=N5,1,0)</f>
        <v>0</v>
      </c>
      <c r="O16" s="42"/>
      <c r="P16" s="48">
        <f>IF(SUM(N6:N7)=P5,1,0)</f>
        <v>0</v>
      </c>
      <c r="Q16" s="42"/>
      <c r="R16" s="49">
        <f>IF(SUM(P5:P6)=R5,1,0)</f>
        <v>0</v>
      </c>
      <c r="S16" s="10"/>
      <c r="T16" s="9"/>
    </row>
    <row r="17" spans="2:20" ht="18" customHeight="1">
      <c r="B17" s="56" t="s">
        <v>34</v>
      </c>
      <c r="C17" s="51"/>
      <c r="D17" s="80" t="s">
        <v>35</v>
      </c>
      <c r="E17" s="80"/>
      <c r="F17" s="80"/>
      <c r="G17" s="80"/>
      <c r="H17" s="16">
        <f>ROUND(G20*100/H15,2)</f>
        <v>340.43</v>
      </c>
      <c r="I17" s="63"/>
      <c r="L17" s="47">
        <f>IF(SUM(H8:H9)=L6,1,0)</f>
        <v>0</v>
      </c>
      <c r="M17" s="42"/>
      <c r="N17" s="48">
        <f>IF(SUM(L7:L8)=N6,1,0)</f>
        <v>1</v>
      </c>
      <c r="O17" s="42"/>
      <c r="P17" s="48">
        <f>IF(SUM(N6:N7)=P6,1,0)</f>
        <v>0</v>
      </c>
      <c r="Q17" s="42"/>
      <c r="R17" s="43"/>
      <c r="S17" s="10"/>
      <c r="T17" s="9"/>
    </row>
    <row r="18" spans="2:20" ht="15.75" customHeight="1" thickBot="1">
      <c r="B18" s="57" t="s">
        <v>38</v>
      </c>
      <c r="C18" s="58"/>
      <c r="D18" s="83" t="s">
        <v>37</v>
      </c>
      <c r="E18" s="83"/>
      <c r="F18" s="83"/>
      <c r="G18" s="83"/>
      <c r="H18" s="59">
        <f>1-(1/H17)</f>
        <v>0.99706253855418148</v>
      </c>
      <c r="I18" s="64"/>
      <c r="L18" s="47">
        <f>IF(SUM(H8:H9)=L7,1,0)</f>
        <v>1</v>
      </c>
      <c r="M18" s="42"/>
      <c r="N18" s="48">
        <f>IF(SUM(L7:L8)=N7,1,0)</f>
        <v>0</v>
      </c>
      <c r="O18" s="42"/>
      <c r="P18" s="42"/>
      <c r="Q18" s="42"/>
      <c r="R18" s="43"/>
      <c r="S18" s="10"/>
      <c r="T18" s="9"/>
    </row>
    <row r="19" spans="2:20" ht="15.75" customHeight="1" thickTop="1" thickBot="1">
      <c r="L19" s="50">
        <f>IF(SUM(H8:H9)=L8,1,0)</f>
        <v>0</v>
      </c>
      <c r="M19" s="44"/>
      <c r="N19" s="45"/>
      <c r="O19" s="44"/>
      <c r="P19" s="44"/>
      <c r="Q19" s="44"/>
      <c r="R19" s="46"/>
      <c r="S19" s="10"/>
      <c r="T19" s="9"/>
    </row>
    <row r="20" spans="2:20" ht="15.75" thickTop="1">
      <c r="B20" s="41"/>
      <c r="C20" s="41"/>
      <c r="D20" s="41"/>
      <c r="E20" s="81" t="s">
        <v>36</v>
      </c>
      <c r="F20" s="81"/>
      <c r="G20" s="82">
        <v>8</v>
      </c>
      <c r="H20" s="41"/>
      <c r="I20" s="41"/>
      <c r="M20" s="10"/>
      <c r="N20" s="10"/>
      <c r="O20" s="10"/>
      <c r="Q20" s="10"/>
      <c r="R20" s="10"/>
      <c r="S20" s="10"/>
      <c r="T20" s="9"/>
    </row>
    <row r="21" spans="2:20">
      <c r="B21" s="41"/>
      <c r="C21" s="41"/>
      <c r="D21" s="41"/>
      <c r="E21" s="81"/>
      <c r="F21" s="81"/>
      <c r="G21" s="82"/>
      <c r="H21" s="41"/>
      <c r="I21" s="41"/>
    </row>
    <row r="22" spans="2:20" ht="18.75" customHeight="1">
      <c r="B22" s="41"/>
      <c r="C22" s="41"/>
      <c r="D22" s="41"/>
      <c r="E22" s="41"/>
      <c r="F22" s="41"/>
      <c r="G22" s="41"/>
      <c r="H22" s="41"/>
      <c r="I22" s="41"/>
      <c r="L22" s="73" t="s">
        <v>46</v>
      </c>
      <c r="M22" s="73"/>
      <c r="N22" s="73"/>
      <c r="O22" s="73"/>
      <c r="P22" s="73"/>
      <c r="Q22" s="73"/>
      <c r="R22" s="73"/>
    </row>
    <row r="23" spans="2:20" ht="15" customHeight="1" thickBot="1">
      <c r="L23" s="74"/>
      <c r="M23" s="74"/>
      <c r="N23" s="74"/>
      <c r="O23" s="74"/>
      <c r="P23" s="74"/>
      <c r="Q23" s="74"/>
      <c r="R23" s="74"/>
    </row>
    <row r="24" spans="2:20" ht="16.5" customHeight="1" thickTop="1" thickBot="1">
      <c r="L24" s="5">
        <v>0.14000000000000001</v>
      </c>
      <c r="M24" s="8">
        <v>0.1</v>
      </c>
      <c r="N24" s="5">
        <v>0.08</v>
      </c>
      <c r="O24" s="5">
        <v>0.11</v>
      </c>
      <c r="P24" s="5">
        <v>0.33</v>
      </c>
      <c r="Q24" s="5">
        <v>0.13</v>
      </c>
      <c r="R24" s="26"/>
    </row>
    <row r="25" spans="2:20" ht="15.75" customHeight="1" thickTop="1" thickBot="1">
      <c r="L25" s="5">
        <v>0.06</v>
      </c>
      <c r="M25" s="5">
        <v>0.4</v>
      </c>
      <c r="N25" s="5">
        <v>7.0000000000000007E-2</v>
      </c>
      <c r="O25" s="5">
        <v>0.22</v>
      </c>
      <c r="P25" s="5">
        <v>0.21</v>
      </c>
      <c r="Q25" s="5">
        <v>0.37</v>
      </c>
      <c r="R25" s="26"/>
    </row>
    <row r="26" spans="2:20" ht="15.75" customHeight="1" thickTop="1" thickBot="1">
      <c r="L26" s="5">
        <v>0.32</v>
      </c>
      <c r="M26" s="5">
        <v>0.06</v>
      </c>
      <c r="N26" s="5">
        <v>0.19</v>
      </c>
      <c r="O26" s="8">
        <v>0.33</v>
      </c>
      <c r="P26" s="5">
        <v>0.2</v>
      </c>
      <c r="Q26" s="5">
        <v>0.12</v>
      </c>
      <c r="R26" s="26"/>
    </row>
    <row r="27" spans="2:20" ht="16.5" thickTop="1" thickBot="1">
      <c r="L27" s="5">
        <v>0.31</v>
      </c>
      <c r="M27" s="5">
        <v>0.1</v>
      </c>
      <c r="N27" s="5">
        <v>0.45</v>
      </c>
      <c r="O27" s="5">
        <v>0.13</v>
      </c>
      <c r="P27" s="5">
        <v>0.11</v>
      </c>
      <c r="Q27" s="5">
        <v>0.09</v>
      </c>
      <c r="R27" s="26"/>
    </row>
    <row r="28" spans="2:20" ht="17.25" customHeight="1" thickTop="1" thickBot="1">
      <c r="L28" s="5">
        <v>0.11</v>
      </c>
      <c r="M28" s="5">
        <v>0.04</v>
      </c>
      <c r="N28" s="5">
        <v>0.03</v>
      </c>
      <c r="O28" s="5">
        <v>0.2</v>
      </c>
      <c r="P28" s="5">
        <v>0.08</v>
      </c>
      <c r="Q28" s="5">
        <v>0.14000000000000001</v>
      </c>
      <c r="R28" s="26"/>
    </row>
    <row r="29" spans="2:20" ht="18" customHeight="1" thickTop="1" thickBot="1">
      <c r="L29" s="5">
        <v>0.06</v>
      </c>
      <c r="M29" s="5">
        <v>0.3</v>
      </c>
      <c r="N29" s="5">
        <v>0.18</v>
      </c>
      <c r="O29" s="5">
        <v>0.01</v>
      </c>
      <c r="P29" s="5">
        <v>7.0000000000000007E-2</v>
      </c>
      <c r="Q29" s="5">
        <v>0.15</v>
      </c>
      <c r="R29" s="26"/>
    </row>
    <row r="30" spans="2:20" ht="15" thickTop="1"/>
  </sheetData>
  <mergeCells count="12">
    <mergeCell ref="L22:R23"/>
    <mergeCell ref="L13:R14"/>
    <mergeCell ref="G3:H3"/>
    <mergeCell ref="L2:Z2"/>
    <mergeCell ref="D2:H2"/>
    <mergeCell ref="D16:G16"/>
    <mergeCell ref="D17:G17"/>
    <mergeCell ref="E20:F21"/>
    <mergeCell ref="G20:G21"/>
    <mergeCell ref="D18:G18"/>
    <mergeCell ref="D15:G15"/>
    <mergeCell ref="T12:V15"/>
  </mergeCells>
  <phoneticPr fontId="1" type="noConversion"/>
  <pageMargins left="0.7" right="0.7" top="0.75" bottom="0.75" header="0.3" footer="0.3"/>
  <pageSetup paperSize="9" orientation="portrait" r:id="rId1"/>
  <ignoredErrors>
    <ignoredError sqref="R15:R16 L15:L19 N15:N18 P15:P17" formulaRange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828BF-1F71-44AC-BC28-B8F35E0BCC88}">
  <sheetPr codeName="Sayfa1"/>
  <dimension ref="A1:AZ73"/>
  <sheetViews>
    <sheetView tabSelected="1" workbookViewId="0">
      <selection activeCell="K8" sqref="K8"/>
    </sheetView>
  </sheetViews>
  <sheetFormatPr defaultRowHeight="15"/>
  <cols>
    <col min="1" max="64" width="5.42578125" customWidth="1"/>
  </cols>
  <sheetData>
    <row r="1" spans="1:50" ht="28.35" customHeigh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</row>
    <row r="2" spans="1:50" ht="28.35" customHeight="1">
      <c r="A2" s="28"/>
      <c r="C2" s="86" t="s">
        <v>45</v>
      </c>
      <c r="D2" s="86"/>
      <c r="E2" s="86"/>
      <c r="F2" s="86"/>
      <c r="G2" s="86"/>
      <c r="H2" s="86"/>
      <c r="V2" s="28"/>
      <c r="AH2" s="28"/>
    </row>
    <row r="3" spans="1:50" ht="28.35" customHeight="1">
      <c r="A3" s="28"/>
      <c r="C3" s="86"/>
      <c r="D3" s="86"/>
      <c r="E3" s="86"/>
      <c r="F3" s="86"/>
      <c r="G3" s="86"/>
      <c r="H3" s="86"/>
      <c r="N3" s="29"/>
      <c r="Q3" s="29"/>
      <c r="V3" s="28"/>
      <c r="AA3" s="29"/>
      <c r="AD3" s="29"/>
      <c r="AH3" s="28"/>
    </row>
    <row r="4" spans="1:50" ht="28.35" customHeight="1">
      <c r="A4" s="28"/>
      <c r="C4" s="86"/>
      <c r="D4" s="86"/>
      <c r="E4" s="86"/>
      <c r="F4" s="86"/>
      <c r="G4" s="86"/>
      <c r="H4" s="86"/>
      <c r="L4" s="29"/>
      <c r="M4" s="29"/>
      <c r="N4" s="29"/>
      <c r="O4" s="29"/>
      <c r="P4" s="29"/>
      <c r="Q4" s="29"/>
      <c r="R4" s="29"/>
      <c r="S4" s="29"/>
      <c r="V4" s="28"/>
      <c r="Y4" s="29"/>
      <c r="Z4" s="29"/>
      <c r="AA4" s="29"/>
      <c r="AB4" s="29"/>
      <c r="AC4" s="29"/>
      <c r="AD4" s="29"/>
      <c r="AE4" s="29"/>
      <c r="AF4" s="29"/>
      <c r="AH4" s="28"/>
    </row>
    <row r="5" spans="1:50" ht="28.35" customHeight="1">
      <c r="A5" s="28"/>
      <c r="C5" s="86"/>
      <c r="D5" s="86"/>
      <c r="E5" s="86"/>
      <c r="F5" s="86"/>
      <c r="G5" s="86"/>
      <c r="H5" s="86"/>
      <c r="K5" s="29"/>
      <c r="L5" s="29"/>
      <c r="M5" s="29"/>
      <c r="O5" s="29"/>
      <c r="P5" s="29"/>
      <c r="Q5" s="29"/>
      <c r="V5" s="28"/>
      <c r="X5" s="29"/>
      <c r="Y5" s="29"/>
      <c r="Z5" s="29"/>
      <c r="AB5" s="29"/>
      <c r="AC5" s="29"/>
      <c r="AD5" s="29"/>
      <c r="AH5" s="28"/>
      <c r="AO5" s="29"/>
      <c r="AP5" s="39" t="s">
        <v>32</v>
      </c>
      <c r="AQ5" s="29"/>
    </row>
    <row r="6" spans="1:50" ht="28.35" customHeight="1">
      <c r="A6" s="28"/>
      <c r="C6" s="86"/>
      <c r="D6" s="86"/>
      <c r="E6" s="86"/>
      <c r="F6" s="86"/>
      <c r="G6" s="86"/>
      <c r="H6" s="86"/>
      <c r="V6" s="28"/>
      <c r="AH6" s="28"/>
      <c r="AP6" s="29"/>
    </row>
    <row r="7" spans="1:50" ht="28.35" customHeight="1" thickBot="1">
      <c r="A7" s="28"/>
      <c r="C7" s="86"/>
      <c r="D7" s="86"/>
      <c r="E7" s="86"/>
      <c r="F7" s="86"/>
      <c r="G7" s="86"/>
      <c r="H7" s="86"/>
      <c r="K7" s="91" t="s">
        <v>49</v>
      </c>
      <c r="L7" s="92"/>
      <c r="M7" s="92"/>
      <c r="N7" s="92"/>
      <c r="O7" s="92"/>
      <c r="P7" s="92"/>
      <c r="Q7" s="92"/>
      <c r="R7" s="92"/>
      <c r="S7" s="93"/>
      <c r="V7" s="28"/>
      <c r="X7" s="91" t="s">
        <v>48</v>
      </c>
      <c r="Y7" s="92"/>
      <c r="Z7" s="92"/>
      <c r="AA7" s="92"/>
      <c r="AB7" s="92"/>
      <c r="AC7" s="92"/>
      <c r="AD7" s="92"/>
      <c r="AE7" s="92"/>
      <c r="AF7" s="93"/>
      <c r="AH7" s="28"/>
    </row>
    <row r="8" spans="1:50" ht="28.35" customHeight="1" thickBot="1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62"/>
    </row>
    <row r="9" spans="1:50" ht="28.35" customHeight="1" thickBot="1">
      <c r="A9" s="28"/>
      <c r="H9" s="28"/>
      <c r="V9" s="28"/>
      <c r="AH9" s="28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</row>
    <row r="10" spans="1:50" ht="28.35" customHeight="1" thickBot="1">
      <c r="A10" s="28"/>
      <c r="H10" s="28"/>
      <c r="M10" s="30"/>
      <c r="N10" s="29"/>
      <c r="O10" s="30"/>
      <c r="P10" s="30"/>
      <c r="Q10" s="29"/>
      <c r="R10" s="30"/>
      <c r="V10" s="28"/>
      <c r="AA10" s="31"/>
      <c r="AD10" s="31"/>
      <c r="AH10" s="28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</row>
    <row r="11" spans="1:50" ht="28.35" customHeight="1" thickBot="1">
      <c r="A11" s="28"/>
      <c r="E11" s="29"/>
      <c r="H11" s="28"/>
      <c r="K11" s="30"/>
      <c r="L11" s="29"/>
      <c r="M11" s="29"/>
      <c r="N11" s="29"/>
      <c r="O11" s="29"/>
      <c r="P11" s="29"/>
      <c r="Q11" s="29"/>
      <c r="R11" s="29"/>
      <c r="S11" s="29"/>
      <c r="T11" s="30"/>
      <c r="V11" s="28"/>
      <c r="Y11" s="31"/>
      <c r="Z11" s="31"/>
      <c r="AA11" s="29"/>
      <c r="AB11" s="31"/>
      <c r="AC11" s="31"/>
      <c r="AD11" s="29"/>
      <c r="AE11" s="31"/>
      <c r="AF11" s="31"/>
      <c r="AH11" s="28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</row>
    <row r="12" spans="1:50" ht="28.35" customHeight="1" thickBot="1">
      <c r="A12" s="28"/>
      <c r="D12" s="29"/>
      <c r="E12" s="39" t="s">
        <v>32</v>
      </c>
      <c r="F12" s="29"/>
      <c r="H12" s="28"/>
      <c r="J12" s="30"/>
      <c r="K12" s="29"/>
      <c r="L12" s="29"/>
      <c r="M12" s="29"/>
      <c r="N12" s="30"/>
      <c r="O12" s="29"/>
      <c r="P12" s="29"/>
      <c r="Q12" s="29"/>
      <c r="R12" s="30"/>
      <c r="S12" s="30"/>
      <c r="V12" s="28"/>
      <c r="X12" s="31"/>
      <c r="Y12" s="29"/>
      <c r="Z12" s="31"/>
      <c r="AB12" s="31"/>
      <c r="AC12" s="29"/>
      <c r="AD12" s="31"/>
      <c r="AH12" s="28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</row>
    <row r="13" spans="1:50" ht="28.35" customHeight="1" thickBot="1">
      <c r="A13" s="28"/>
      <c r="H13" s="28"/>
      <c r="K13" s="30"/>
      <c r="L13" s="30"/>
      <c r="M13" s="30"/>
      <c r="O13" s="30"/>
      <c r="P13" s="30"/>
      <c r="Q13" s="30"/>
      <c r="V13" s="28"/>
      <c r="AH13" s="28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</row>
    <row r="14" spans="1:50" ht="28.35" customHeight="1" thickBot="1">
      <c r="A14" s="28"/>
      <c r="H14" s="28"/>
      <c r="V14" s="28"/>
      <c r="AH14" s="28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</row>
    <row r="15" spans="1:50" ht="28.35" customHeight="1" thickBot="1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</row>
    <row r="16" spans="1:50" ht="28.35" customHeight="1" thickBot="1">
      <c r="A16" s="28"/>
      <c r="H16" s="28"/>
      <c r="V16" s="28"/>
      <c r="AH16" s="28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</row>
    <row r="17" spans="1:34" ht="28.35" customHeight="1">
      <c r="A17" s="28"/>
      <c r="H17" s="28"/>
      <c r="N17" s="31"/>
      <c r="Q17" s="31"/>
      <c r="V17" s="28"/>
      <c r="AH17" s="28"/>
    </row>
    <row r="18" spans="1:34" ht="28.35" customHeight="1">
      <c r="A18" s="28"/>
      <c r="D18" s="29"/>
      <c r="E18" s="39" t="s">
        <v>32</v>
      </c>
      <c r="F18" s="29"/>
      <c r="H18" s="28"/>
      <c r="L18" s="31"/>
      <c r="M18" s="31"/>
      <c r="N18" s="29"/>
      <c r="O18" s="31"/>
      <c r="P18" s="31"/>
      <c r="Q18" s="29"/>
      <c r="R18" s="31"/>
      <c r="S18" s="31"/>
      <c r="V18" s="28"/>
      <c r="AA18" s="31"/>
      <c r="AD18" s="31"/>
      <c r="AH18" s="28"/>
    </row>
    <row r="19" spans="1:34" ht="28.35" customHeight="1">
      <c r="A19" s="28"/>
      <c r="E19" s="29"/>
      <c r="H19" s="28"/>
      <c r="K19" s="31"/>
      <c r="L19" s="29"/>
      <c r="M19" s="29"/>
      <c r="N19" s="29"/>
      <c r="O19" s="29"/>
      <c r="P19" s="29"/>
      <c r="Q19" s="29"/>
      <c r="R19" s="29"/>
      <c r="S19" s="29"/>
      <c r="T19" s="31"/>
      <c r="V19" s="28"/>
      <c r="Y19" s="31"/>
      <c r="Z19" s="29"/>
      <c r="AA19" s="31"/>
      <c r="AB19" s="29"/>
      <c r="AC19" s="29"/>
      <c r="AD19" s="29"/>
      <c r="AE19" s="31"/>
      <c r="AF19" s="31"/>
      <c r="AH19" s="28"/>
    </row>
    <row r="20" spans="1:34" ht="28.35" customHeight="1">
      <c r="A20" s="28"/>
      <c r="H20" s="28"/>
      <c r="J20" s="31"/>
      <c r="K20" s="29"/>
      <c r="L20" s="29"/>
      <c r="M20" s="29"/>
      <c r="N20" s="31"/>
      <c r="O20" s="29"/>
      <c r="P20" s="29"/>
      <c r="Q20" s="29"/>
      <c r="R20" s="31"/>
      <c r="V20" s="28"/>
      <c r="X20" s="31"/>
      <c r="Y20" s="31"/>
      <c r="Z20" s="31"/>
      <c r="AB20" s="31"/>
      <c r="AC20" s="31"/>
      <c r="AD20" s="31"/>
      <c r="AH20" s="28"/>
    </row>
    <row r="21" spans="1:34" ht="28.35" customHeight="1">
      <c r="A21" s="28"/>
      <c r="H21" s="28"/>
      <c r="V21" s="28"/>
      <c r="AH21" s="28"/>
    </row>
    <row r="22" spans="1:34" ht="28.35" customHeight="1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</row>
    <row r="23" spans="1:34" ht="28.35" customHeight="1">
      <c r="A23" s="28"/>
      <c r="H23" s="28"/>
      <c r="V23" s="28"/>
      <c r="AH23" s="28"/>
    </row>
    <row r="24" spans="1:34" ht="28.35" customHeight="1">
      <c r="A24" s="28"/>
      <c r="H24" s="28"/>
      <c r="M24" s="31"/>
      <c r="P24" s="31"/>
      <c r="V24" s="28"/>
      <c r="AH24" s="28"/>
    </row>
    <row r="25" spans="1:34" ht="28.35" customHeight="1">
      <c r="A25" s="28"/>
      <c r="E25" s="29"/>
      <c r="H25" s="28"/>
      <c r="K25" s="31"/>
      <c r="L25" s="31"/>
      <c r="M25" s="29"/>
      <c r="N25" s="31"/>
      <c r="O25" s="31"/>
      <c r="P25" s="29"/>
      <c r="Q25" s="31"/>
      <c r="R25" s="31"/>
      <c r="V25" s="28"/>
      <c r="AH25" s="28"/>
    </row>
    <row r="26" spans="1:34" ht="28.35" customHeight="1">
      <c r="A26" s="28"/>
      <c r="D26" s="29"/>
      <c r="E26" s="39" t="s">
        <v>32</v>
      </c>
      <c r="H26" s="28"/>
      <c r="J26" s="31"/>
      <c r="K26" s="29"/>
      <c r="L26" s="29"/>
      <c r="M26" s="29"/>
      <c r="N26" s="29"/>
      <c r="O26" s="29"/>
      <c r="P26" s="29"/>
      <c r="Q26" s="29"/>
      <c r="R26" s="29"/>
      <c r="S26" s="31"/>
      <c r="V26" s="28"/>
      <c r="AA26" s="31"/>
      <c r="AD26" s="31"/>
      <c r="AH26" s="28"/>
    </row>
    <row r="27" spans="1:34" ht="28.35" customHeight="1">
      <c r="A27" s="28"/>
      <c r="E27" s="29"/>
      <c r="H27" s="28"/>
      <c r="J27" s="29"/>
      <c r="K27" s="29"/>
      <c r="L27" s="29"/>
      <c r="M27" s="31"/>
      <c r="N27" s="29"/>
      <c r="O27" s="29"/>
      <c r="P27" s="29"/>
      <c r="Q27" s="31"/>
      <c r="R27" s="31"/>
      <c r="V27" s="28"/>
      <c r="Y27" s="31"/>
      <c r="Z27" s="31"/>
      <c r="AA27" s="31"/>
      <c r="AB27" s="31"/>
      <c r="AC27" s="31"/>
      <c r="AD27" s="29"/>
      <c r="AE27" s="31"/>
      <c r="AF27" s="31"/>
      <c r="AH27" s="28"/>
    </row>
    <row r="28" spans="1:34" ht="28.35" customHeight="1">
      <c r="A28" s="28"/>
      <c r="H28" s="28"/>
      <c r="J28" s="31"/>
      <c r="K28" s="31"/>
      <c r="L28" s="31"/>
      <c r="N28" s="31"/>
      <c r="O28" s="31"/>
      <c r="P28" s="31"/>
      <c r="V28" s="28"/>
      <c r="X28" s="31"/>
      <c r="Y28" s="31"/>
      <c r="Z28" s="31"/>
      <c r="AB28" s="31"/>
      <c r="AC28" s="31"/>
      <c r="AD28" s="31"/>
      <c r="AH28" s="28"/>
    </row>
    <row r="29" spans="1:34" ht="28.35" customHeight="1">
      <c r="A29" s="28"/>
      <c r="H29" s="28"/>
      <c r="V29" s="28"/>
      <c r="AH29" s="28"/>
    </row>
    <row r="30" spans="1:34" ht="28.3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</row>
    <row r="31" spans="1:34" ht="28.35" customHeight="1">
      <c r="A31" s="28"/>
      <c r="H31" s="28"/>
      <c r="V31" s="28"/>
      <c r="AH31" s="28"/>
    </row>
    <row r="32" spans="1:34" ht="28.35" customHeight="1">
      <c r="A32" s="28"/>
      <c r="H32" s="28"/>
      <c r="N32" s="31"/>
      <c r="Q32" s="31"/>
      <c r="V32" s="28"/>
      <c r="AH32" s="28"/>
    </row>
    <row r="33" spans="1:52" ht="28.35" customHeight="1">
      <c r="A33" s="28"/>
      <c r="D33" s="29"/>
      <c r="H33" s="28"/>
      <c r="L33" s="31"/>
      <c r="M33" s="31"/>
      <c r="N33" s="29"/>
      <c r="O33" s="31"/>
      <c r="P33" s="31"/>
      <c r="Q33" s="29"/>
      <c r="R33" s="31"/>
      <c r="S33" s="31"/>
      <c r="V33" s="28"/>
      <c r="AA33" s="31"/>
      <c r="AD33" s="31"/>
      <c r="AH33" s="28"/>
    </row>
    <row r="34" spans="1:52" ht="28.35" customHeight="1">
      <c r="A34" s="28"/>
      <c r="D34" s="39" t="s">
        <v>32</v>
      </c>
      <c r="E34" s="29"/>
      <c r="H34" s="28"/>
      <c r="K34" s="31"/>
      <c r="L34" s="29"/>
      <c r="M34" s="29"/>
      <c r="N34" s="29"/>
      <c r="O34" s="29"/>
      <c r="P34" s="29"/>
      <c r="Q34" s="29"/>
      <c r="R34" s="29"/>
      <c r="S34" s="29"/>
      <c r="V34" s="28"/>
      <c r="Y34" s="31"/>
      <c r="Z34" s="31"/>
      <c r="AA34" s="31"/>
      <c r="AB34" s="31"/>
      <c r="AC34" s="31"/>
      <c r="AD34" s="29"/>
      <c r="AE34" s="31"/>
      <c r="AF34" s="31"/>
      <c r="AH34" s="28"/>
    </row>
    <row r="35" spans="1:52" ht="28.35" customHeight="1">
      <c r="A35" s="28"/>
      <c r="D35" s="29"/>
      <c r="H35" s="28"/>
      <c r="J35" s="31"/>
      <c r="K35" s="29"/>
      <c r="L35" s="29"/>
      <c r="M35" s="29"/>
      <c r="N35" s="31"/>
      <c r="O35" s="29"/>
      <c r="P35" s="29"/>
      <c r="Q35" s="29"/>
      <c r="R35" s="31"/>
      <c r="S35" s="31"/>
      <c r="V35" s="28"/>
      <c r="X35" s="31"/>
      <c r="Y35" s="31"/>
      <c r="Z35" s="31"/>
      <c r="AB35" s="31"/>
      <c r="AC35" s="31"/>
      <c r="AD35" s="31"/>
      <c r="AH35" s="28"/>
    </row>
    <row r="36" spans="1:52" ht="28.35" customHeight="1">
      <c r="A36" s="28"/>
      <c r="H36" s="28"/>
      <c r="K36" s="31"/>
      <c r="L36" s="31"/>
      <c r="M36" s="31"/>
      <c r="O36" s="31"/>
      <c r="P36" s="31"/>
      <c r="Q36" s="31"/>
      <c r="V36" s="28"/>
      <c r="AH36" s="28"/>
    </row>
    <row r="37" spans="1:52" ht="28.35" customHeight="1">
      <c r="A37" s="28"/>
      <c r="H37" s="28"/>
      <c r="V37" s="28"/>
      <c r="AH37" s="28"/>
    </row>
    <row r="38" spans="1:52" ht="28.35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</row>
    <row r="39" spans="1:52" ht="28.35" customHeight="1">
      <c r="B39" s="32" t="s">
        <v>21</v>
      </c>
      <c r="AZ39" s="33"/>
    </row>
    <row r="40" spans="1:52" ht="28.35" customHeight="1">
      <c r="B40" s="89" t="s">
        <v>22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Z40" s="33"/>
    </row>
    <row r="41" spans="1:52" ht="28.35" customHeight="1">
      <c r="AZ41" s="33"/>
    </row>
    <row r="42" spans="1:52" ht="28.35" customHeight="1">
      <c r="B42" s="89" t="s">
        <v>23</v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Z42" s="33"/>
    </row>
    <row r="43" spans="1:52" ht="28.35" customHeight="1">
      <c r="AZ43" s="33"/>
    </row>
    <row r="44" spans="1:52" ht="28.35" customHeight="1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3"/>
    </row>
    <row r="45" spans="1:52" ht="28.35" customHeight="1">
      <c r="AZ45" s="33"/>
    </row>
    <row r="46" spans="1:52" ht="28.35" customHeight="1">
      <c r="B46" s="87" t="s">
        <v>24</v>
      </c>
      <c r="C46" s="87"/>
      <c r="D46" s="87"/>
      <c r="E46" s="87"/>
      <c r="F46" s="87"/>
      <c r="G46" s="87"/>
      <c r="H46" s="87"/>
      <c r="I46" s="87"/>
      <c r="J46" s="87"/>
      <c r="K46" s="87"/>
      <c r="L46" s="87"/>
      <c r="O46" s="29"/>
      <c r="S46" s="89" t="s">
        <v>25</v>
      </c>
      <c r="T46" s="89"/>
      <c r="U46" s="89"/>
      <c r="V46" s="89"/>
      <c r="W46" s="89"/>
      <c r="X46" s="89"/>
      <c r="Y46" s="89"/>
      <c r="Z46" s="89"/>
      <c r="AA46" s="89"/>
      <c r="AB46" s="89"/>
      <c r="AC46" s="89"/>
      <c r="AZ46" s="33"/>
    </row>
    <row r="47" spans="1:52" ht="28.35" customHeight="1">
      <c r="C47" s="88" t="s">
        <v>27</v>
      </c>
      <c r="D47" s="88"/>
      <c r="E47" s="88"/>
      <c r="F47" s="88"/>
      <c r="G47" s="88"/>
      <c r="H47" s="88"/>
      <c r="I47" s="88"/>
      <c r="J47" s="88"/>
      <c r="K47" s="88"/>
      <c r="L47" s="88"/>
      <c r="N47" s="29"/>
      <c r="O47" s="39" t="s">
        <v>32</v>
      </c>
      <c r="P47" s="29"/>
      <c r="S47" s="90" t="s">
        <v>26</v>
      </c>
      <c r="T47" s="90"/>
      <c r="U47" s="90"/>
      <c r="V47" s="90"/>
      <c r="W47" s="90"/>
      <c r="X47" s="90"/>
      <c r="Y47" s="90"/>
      <c r="Z47" s="90"/>
      <c r="AA47" s="90"/>
      <c r="AB47" s="90"/>
      <c r="AC47" s="90"/>
      <c r="AZ47" s="33"/>
    </row>
    <row r="48" spans="1:52" ht="28.35" customHeight="1">
      <c r="AZ48" s="33"/>
    </row>
    <row r="49" spans="2:52" ht="28.35" customHeight="1">
      <c r="C49" s="29"/>
      <c r="D49" s="29"/>
      <c r="E49" s="29"/>
      <c r="J49" s="29"/>
      <c r="K49" s="29"/>
      <c r="S49" s="68"/>
      <c r="T49" s="69"/>
      <c r="U49" s="69"/>
      <c r="V49" s="69"/>
      <c r="W49" s="68"/>
      <c r="X49" s="68"/>
      <c r="Y49" s="68"/>
      <c r="Z49" s="68"/>
      <c r="AA49" s="69"/>
      <c r="AB49" s="69"/>
      <c r="AC49" s="68"/>
      <c r="AL49" s="34"/>
      <c r="AM49" s="34"/>
      <c r="AZ49" s="33"/>
    </row>
    <row r="50" spans="2:52" ht="28.35" customHeight="1">
      <c r="C50" s="29"/>
      <c r="D50" s="29"/>
      <c r="E50" s="29"/>
      <c r="F50" s="29"/>
      <c r="G50" s="29"/>
      <c r="H50" s="29"/>
      <c r="I50" s="29"/>
      <c r="J50" s="29"/>
      <c r="K50" s="29"/>
      <c r="S50" s="68"/>
      <c r="T50" s="69"/>
      <c r="U50" s="70"/>
      <c r="V50" s="70"/>
      <c r="W50" s="69"/>
      <c r="X50" s="69"/>
      <c r="Y50" s="69"/>
      <c r="Z50" s="69"/>
      <c r="AA50" s="70"/>
      <c r="AB50" s="69"/>
      <c r="AC50" s="68"/>
      <c r="AI50" s="34" t="s">
        <v>31</v>
      </c>
      <c r="AZ50" s="33"/>
    </row>
    <row r="51" spans="2:52" ht="28.35" customHeight="1">
      <c r="C51" s="29"/>
      <c r="D51" s="29"/>
      <c r="E51" s="29"/>
      <c r="F51" s="29"/>
      <c r="G51" s="29"/>
      <c r="H51" s="29"/>
      <c r="I51" s="29"/>
      <c r="J51" s="29"/>
      <c r="K51" s="29"/>
      <c r="S51" s="68"/>
      <c r="T51" s="69"/>
      <c r="U51" s="70"/>
      <c r="V51" s="70"/>
      <c r="W51" s="70"/>
      <c r="X51" s="70"/>
      <c r="Y51" s="70"/>
      <c r="Z51" s="70"/>
      <c r="AA51" s="70"/>
      <c r="AB51" s="69"/>
      <c r="AC51" s="68"/>
      <c r="AZ51" s="33"/>
    </row>
    <row r="52" spans="2:52" ht="28.35" customHeight="1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S52" s="69"/>
      <c r="T52" s="70"/>
      <c r="U52" s="70"/>
      <c r="V52" s="70"/>
      <c r="W52" s="70"/>
      <c r="X52" s="70"/>
      <c r="Y52" s="71"/>
      <c r="Z52" s="71"/>
      <c r="AA52" s="71"/>
      <c r="AB52" s="71"/>
      <c r="AC52" s="69"/>
      <c r="AZ52" s="33"/>
    </row>
    <row r="53" spans="2:52" ht="28.35" customHeight="1">
      <c r="B53" s="29"/>
      <c r="C53" s="29"/>
      <c r="D53" s="29"/>
      <c r="E53" s="29"/>
      <c r="F53" s="29"/>
      <c r="G53" s="29"/>
      <c r="H53" s="29"/>
      <c r="S53" s="69"/>
      <c r="T53" s="70"/>
      <c r="U53" s="70"/>
      <c r="V53" s="70"/>
      <c r="W53" s="70"/>
      <c r="X53" s="70"/>
      <c r="Y53" s="69"/>
      <c r="Z53" s="68"/>
      <c r="AA53" s="68"/>
      <c r="AB53" s="68"/>
      <c r="AC53" s="68"/>
      <c r="AI53" s="29"/>
      <c r="AJ53" s="29"/>
      <c r="AK53" s="29"/>
      <c r="AL53" s="29"/>
      <c r="AO53" s="29"/>
      <c r="AP53" s="29"/>
      <c r="AQ53" s="29"/>
      <c r="AZ53" s="33"/>
    </row>
    <row r="54" spans="2:52" ht="28.35" customHeight="1">
      <c r="E54" s="29"/>
      <c r="F54" s="29"/>
      <c r="G54" s="29"/>
      <c r="H54" s="29"/>
      <c r="S54" s="68"/>
      <c r="T54" s="68"/>
      <c r="U54" s="68"/>
      <c r="V54" s="69"/>
      <c r="W54" s="70"/>
      <c r="X54" s="70"/>
      <c r="Y54" s="69"/>
      <c r="Z54" s="68"/>
      <c r="AA54" s="68"/>
      <c r="AB54" s="68"/>
      <c r="AC54" s="68"/>
      <c r="AI54" s="29"/>
      <c r="AJ54" s="29"/>
      <c r="AK54" s="29"/>
      <c r="AL54" s="29"/>
      <c r="AM54" s="29"/>
      <c r="AN54" s="29"/>
      <c r="AO54" s="29"/>
      <c r="AP54" s="29"/>
      <c r="AQ54" s="29"/>
      <c r="AZ54" s="33"/>
    </row>
    <row r="55" spans="2:52" ht="28.35" customHeight="1"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Z55" s="33"/>
    </row>
    <row r="56" spans="2:52" ht="28.35" customHeight="1"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Z56" s="33"/>
    </row>
    <row r="57" spans="2:52" ht="28.35" customHeight="1">
      <c r="E57" s="29"/>
      <c r="F57" s="29"/>
      <c r="K57" s="29"/>
      <c r="T57" s="37"/>
      <c r="U57" s="29"/>
      <c r="V57" s="29"/>
      <c r="W57" s="37"/>
      <c r="Z57" s="37"/>
      <c r="AA57" s="29"/>
      <c r="AB57" s="37"/>
      <c r="AI57" s="29"/>
      <c r="AJ57" s="29"/>
      <c r="AK57" s="29"/>
      <c r="AL57" s="29"/>
      <c r="AM57" s="29"/>
      <c r="AN57" s="29"/>
      <c r="AZ57" s="33"/>
    </row>
    <row r="58" spans="2:52" ht="28.35" customHeight="1">
      <c r="E58" s="29"/>
      <c r="F58" s="29"/>
      <c r="G58" s="29"/>
      <c r="H58" s="29"/>
      <c r="I58" s="29"/>
      <c r="J58" s="29"/>
      <c r="K58" s="29"/>
      <c r="T58" s="37"/>
      <c r="U58" s="29"/>
      <c r="V58" s="29"/>
      <c r="W58" s="29"/>
      <c r="X58" s="29"/>
      <c r="Y58" s="29"/>
      <c r="Z58" s="29"/>
      <c r="AA58" s="29"/>
      <c r="AB58" s="37"/>
      <c r="AL58" s="29"/>
      <c r="AM58" s="29"/>
      <c r="AZ58" s="33"/>
    </row>
    <row r="59" spans="2:52" ht="28.35" customHeight="1">
      <c r="D59" s="29"/>
      <c r="E59" s="29"/>
      <c r="F59" s="29"/>
      <c r="G59" s="29"/>
      <c r="H59" s="29"/>
      <c r="I59" s="29"/>
      <c r="J59" s="29"/>
      <c r="K59" s="29"/>
      <c r="L59" s="29"/>
      <c r="S59" s="37"/>
      <c r="T59" s="29"/>
      <c r="U59" s="29"/>
      <c r="V59" s="29"/>
      <c r="W59" s="29"/>
      <c r="X59" s="29"/>
      <c r="Y59" s="29"/>
      <c r="Z59" s="29"/>
      <c r="AA59" s="29"/>
      <c r="AB59" s="29"/>
      <c r="AC59" s="37"/>
      <c r="AZ59" s="33"/>
    </row>
    <row r="60" spans="2:52" ht="28.35" customHeight="1">
      <c r="D60" s="29"/>
      <c r="E60" s="29"/>
      <c r="F60" s="29"/>
      <c r="G60" s="29"/>
      <c r="H60" s="29"/>
      <c r="S60" s="37"/>
      <c r="T60" s="29"/>
      <c r="U60" s="29"/>
      <c r="V60" s="29"/>
      <c r="W60" s="29"/>
      <c r="X60" s="29"/>
      <c r="Y60" s="37"/>
      <c r="Z60" s="37"/>
      <c r="AA60" s="37"/>
      <c r="AB60" s="37"/>
      <c r="AZ60" s="33"/>
    </row>
    <row r="61" spans="2:52" ht="28.35" customHeight="1">
      <c r="G61" s="29"/>
      <c r="H61" s="29"/>
      <c r="O61" s="29"/>
      <c r="T61" s="37"/>
      <c r="U61" s="37"/>
      <c r="V61" s="37"/>
      <c r="W61" s="29"/>
      <c r="X61" s="29"/>
      <c r="Y61" s="37"/>
      <c r="AZ61" s="33"/>
    </row>
    <row r="62" spans="2:52" ht="28.35" customHeight="1">
      <c r="G62" s="38" t="s">
        <v>30</v>
      </c>
      <c r="N62" s="29"/>
      <c r="O62" s="39" t="s">
        <v>32</v>
      </c>
      <c r="P62" s="29"/>
      <c r="W62" s="37"/>
      <c r="X62" s="37"/>
      <c r="AZ62" s="33"/>
    </row>
    <row r="63" spans="2:52" ht="28.35" customHeight="1">
      <c r="AZ63" s="33"/>
    </row>
    <row r="64" spans="2:52" ht="28.35" customHeight="1">
      <c r="R64" s="34" t="s">
        <v>28</v>
      </c>
      <c r="AZ64" s="33"/>
    </row>
    <row r="65" spans="1:52" ht="28.35" customHeight="1">
      <c r="S65" s="36" t="s">
        <v>29</v>
      </c>
      <c r="AZ65" s="33"/>
    </row>
    <row r="66" spans="1:52" ht="28.35" customHeight="1">
      <c r="AZ66" s="33"/>
    </row>
    <row r="67" spans="1:52" ht="28.35" customHeight="1">
      <c r="A67" s="35"/>
      <c r="B67" s="35"/>
      <c r="C67" s="35"/>
      <c r="D67" s="35"/>
      <c r="E67" s="35"/>
      <c r="F67" s="35"/>
      <c r="G67" s="35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</row>
    <row r="68" spans="1:52" ht="28.35" customHeight="1">
      <c r="AZ68" s="33"/>
    </row>
    <row r="69" spans="1:52" ht="28.35" customHeight="1">
      <c r="AZ69" s="33"/>
    </row>
    <row r="70" spans="1:52" ht="28.35" customHeight="1">
      <c r="AZ70" s="33"/>
    </row>
    <row r="71" spans="1:52" ht="28.35" customHeight="1">
      <c r="AZ71" s="33"/>
    </row>
    <row r="72" spans="1:52" ht="28.35" customHeight="1">
      <c r="AZ72" s="33"/>
    </row>
    <row r="73" spans="1:52" ht="28.35" customHeight="1">
      <c r="AZ73" s="33"/>
    </row>
  </sheetData>
  <mergeCells count="9">
    <mergeCell ref="C2:H7"/>
    <mergeCell ref="B46:L46"/>
    <mergeCell ref="C47:L47"/>
    <mergeCell ref="S46:AC46"/>
    <mergeCell ref="S47:AC47"/>
    <mergeCell ref="B40:AM40"/>
    <mergeCell ref="B42:AP42"/>
    <mergeCell ref="K7:S7"/>
    <mergeCell ref="X7:AF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Huffman</vt:lpstr>
      <vt:lpstr>Açma-Kapama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Ahmet Altın</dc:creator>
  <cp:lastModifiedBy>Ahmet Altın</cp:lastModifiedBy>
  <dcterms:created xsi:type="dcterms:W3CDTF">2020-10-27T19:40:56Z</dcterms:created>
  <dcterms:modified xsi:type="dcterms:W3CDTF">2021-02-22T10:07:09Z</dcterms:modified>
</cp:coreProperties>
</file>